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取引先" sheetId="1" state="visible" r:id="rId3"/>
    <sheet name="9月分の明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<sst xmlns="http://schemas.openxmlformats.org/spreadsheetml/2006/main" count="56" uniqueCount="44">
  <si>
    <t xml:space="preserve">取引先リスト（練習用・すべて架空の会社です）</t>
  </si>
  <si>
    <r>
      <rPr>
        <b val="true"/>
        <sz val="11"/>
        <color rgb="FFFFFFFF"/>
        <rFont val="Noto Sans CJK SC"/>
        <family val="2"/>
      </rPr>
      <t xml:space="preserve">取引先</t>
    </r>
    <r>
      <rPr>
        <b val="true"/>
        <sz val="11"/>
        <color rgb="FFFFFFFF"/>
        <rFont val="Yu Gothic"/>
        <family val="0"/>
        <charset val="1"/>
      </rPr>
      <t xml:space="preserve">No</t>
    </r>
  </si>
  <si>
    <t xml:space="preserve">会社名（正式名）</t>
  </si>
  <si>
    <t xml:space="preserve">部署・担当者</t>
  </si>
  <si>
    <t xml:space="preserve">郵便番号</t>
  </si>
  <si>
    <t xml:space="preserve">住所</t>
  </si>
  <si>
    <t xml:space="preserve">締め日</t>
  </si>
  <si>
    <t xml:space="preserve">支払期限</t>
  </si>
  <si>
    <t xml:space="preserve">株式会社 見本工務店</t>
  </si>
  <si>
    <t xml:space="preserve">総務部 山田 様</t>
  </si>
  <si>
    <t xml:space="preserve">100-0001</t>
  </si>
  <si>
    <r>
      <rPr>
        <sz val="11"/>
        <color rgb="FF000000"/>
        <rFont val="Noto Sans CJK SC"/>
        <family val="2"/>
      </rPr>
      <t xml:space="preserve">東京都千代田区見本</t>
    </r>
    <r>
      <rPr>
        <sz val="11"/>
        <color rgb="FF000000"/>
        <rFont val="Yu Gothic"/>
        <family val="0"/>
        <charset val="1"/>
      </rPr>
      <t xml:space="preserve">1-2-3</t>
    </r>
  </si>
  <si>
    <t xml:space="preserve">月末</t>
  </si>
  <si>
    <t xml:space="preserve">翌月末</t>
  </si>
  <si>
    <t xml:space="preserve">有限会社 サンプル食品</t>
  </si>
  <si>
    <t xml:space="preserve">経理 佐藤 様</t>
  </si>
  <si>
    <t xml:space="preserve">100-0002</t>
  </si>
  <si>
    <r>
      <rPr>
        <sz val="11"/>
        <color rgb="FF000000"/>
        <rFont val="Noto Sans CJK SC"/>
        <family val="2"/>
      </rPr>
      <t xml:space="preserve">東京都千代田区例題</t>
    </r>
    <r>
      <rPr>
        <sz val="11"/>
        <color rgb="FF000000"/>
        <rFont val="Yu Gothic"/>
        <family val="0"/>
        <charset val="1"/>
      </rPr>
      <t xml:space="preserve">4-5-6</t>
    </r>
  </si>
  <si>
    <t xml:space="preserve">合同会社 例題デザイン</t>
  </si>
  <si>
    <t xml:space="preserve">代表 鈴木 様</t>
  </si>
  <si>
    <t xml:space="preserve">100-0003</t>
  </si>
  <si>
    <r>
      <rPr>
        <sz val="11"/>
        <color rgb="FF000000"/>
        <rFont val="Noto Sans CJK SC"/>
        <family val="2"/>
      </rPr>
      <t xml:space="preserve">東京都千代田区練習</t>
    </r>
    <r>
      <rPr>
        <sz val="11"/>
        <color rgb="FF000000"/>
        <rFont val="Yu Gothic"/>
        <family val="0"/>
        <charset val="1"/>
      </rPr>
      <t xml:space="preserve">7-8-9</t>
    </r>
  </si>
  <si>
    <t xml:space="preserve">株式会社 架空運送</t>
  </si>
  <si>
    <t xml:space="preserve">管理部 高橋 様</t>
  </si>
  <si>
    <t xml:space="preserve">100-0004</t>
  </si>
  <si>
    <r>
      <rPr>
        <sz val="11"/>
        <color rgb="FF000000"/>
        <rFont val="Noto Sans CJK SC"/>
        <family val="2"/>
      </rPr>
      <t xml:space="preserve">東京都千代田区架空</t>
    </r>
    <r>
      <rPr>
        <sz val="11"/>
        <color rgb="FF000000"/>
        <rFont val="Yu Gothic"/>
        <family val="0"/>
        <charset val="1"/>
      </rPr>
      <t xml:space="preserve">10-11</t>
    </r>
  </si>
  <si>
    <t xml:space="preserve">株式会社 ためし商店</t>
  </si>
  <si>
    <t xml:space="preserve">店長 田中 様</t>
  </si>
  <si>
    <t xml:space="preserve">100-0005</t>
  </si>
  <si>
    <r>
      <rPr>
        <sz val="11"/>
        <color rgb="FF000000"/>
        <rFont val="Noto Sans CJK SC"/>
        <family val="2"/>
      </rPr>
      <t xml:space="preserve">東京都千代田区試作</t>
    </r>
    <r>
      <rPr>
        <sz val="11"/>
        <color rgb="FF000000"/>
        <rFont val="Yu Gothic"/>
        <family val="0"/>
        <charset val="1"/>
      </rPr>
      <t xml:space="preserve">12-13</t>
    </r>
  </si>
  <si>
    <r>
      <rPr>
        <b val="true"/>
        <sz val="14"/>
        <color rgb="FF000000"/>
        <rFont val="Yu Gothic"/>
        <family val="0"/>
        <charset val="1"/>
      </rPr>
      <t xml:space="preserve">2026</t>
    </r>
    <r>
      <rPr>
        <b val="true"/>
        <sz val="14"/>
        <color rgb="FF000000"/>
        <rFont val="Noto Sans CJK SC"/>
        <family val="2"/>
      </rPr>
      <t xml:space="preserve">年</t>
    </r>
    <r>
      <rPr>
        <b val="true"/>
        <sz val="14"/>
        <color rgb="FF000000"/>
        <rFont val="Yu Gothic"/>
        <family val="0"/>
        <charset val="1"/>
      </rPr>
      <t xml:space="preserve">9</t>
    </r>
    <r>
      <rPr>
        <b val="true"/>
        <sz val="14"/>
        <color rgb="FF000000"/>
        <rFont val="Noto Sans CJK SC"/>
        <family val="2"/>
      </rPr>
      <t xml:space="preserve">月分の請求明細（練習用・架空）</t>
    </r>
  </si>
  <si>
    <r>
      <rPr>
        <sz val="10"/>
        <color rgb="FF5B6577"/>
        <rFont val="Noto Sans CJK SC"/>
        <family val="2"/>
      </rPr>
      <t xml:space="preserve">金額（税抜）は 数量</t>
    </r>
    <r>
      <rPr>
        <sz val="10"/>
        <color rgb="FF5B6577"/>
        <rFont val="Yu Gothic"/>
        <family val="0"/>
        <charset val="1"/>
      </rPr>
      <t xml:space="preserve">×</t>
    </r>
    <r>
      <rPr>
        <sz val="10"/>
        <color rgb="FF5B6577"/>
        <rFont val="Noto Sans CJK SC"/>
        <family val="2"/>
      </rPr>
      <t xml:space="preserve">単価 の式です。税率は </t>
    </r>
    <r>
      <rPr>
        <sz val="10"/>
        <color rgb="FF5B6577"/>
        <rFont val="Yu Gothic"/>
        <family val="0"/>
        <charset val="1"/>
      </rPr>
      <t xml:space="preserve">10% </t>
    </r>
    <r>
      <rPr>
        <sz val="10"/>
        <color rgb="FF5B6577"/>
        <rFont val="Noto Sans CJK SC"/>
        <family val="2"/>
      </rPr>
      <t xml:space="preserve">か </t>
    </r>
    <r>
      <rPr>
        <sz val="10"/>
        <color rgb="FF5B6577"/>
        <rFont val="Yu Gothic"/>
        <family val="0"/>
        <charset val="1"/>
      </rPr>
      <t xml:space="preserve">8%</t>
    </r>
    <r>
      <rPr>
        <sz val="10"/>
        <color rgb="FF5B6577"/>
        <rFont val="Noto Sans CJK SC"/>
        <family val="2"/>
      </rPr>
      <t xml:space="preserve">（軽減税率）。</t>
    </r>
  </si>
  <si>
    <t xml:space="preserve">会社名</t>
  </si>
  <si>
    <t xml:space="preserve">品目</t>
  </si>
  <si>
    <t xml:space="preserve">数量</t>
  </si>
  <si>
    <t xml:space="preserve">単価</t>
  </si>
  <si>
    <t xml:space="preserve">税率</t>
  </si>
  <si>
    <t xml:space="preserve">金額（税抜）</t>
  </si>
  <si>
    <t xml:space="preserve">月次顧問料</t>
  </si>
  <si>
    <t xml:space="preserve">資料作成費</t>
  </si>
  <si>
    <t xml:space="preserve">試食会用 弁当（軽減税率）</t>
  </si>
  <si>
    <t xml:space="preserve">研修（半日）</t>
  </si>
  <si>
    <t xml:space="preserve">スポット相談</t>
  </si>
  <si>
    <t xml:space="preserve">合計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</si>
</sst>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Yu Gothic"/>
      <family val="0"/>
      <charset val="1"/>
    </font>
    <font>
      <sz val="11"/>
      <color rgb="FF000000"/>
      <name val="Yu Gothic"/>
      <family val="0"/>
      <charset val="1"/>
    </font>
    <font>
      <sz val="11"/>
      <color rgb="FF000000"/>
      <name val="Noto Sans CJK SC"/>
      <family val="2"/>
    </font>
    <font>
      <b val="true"/>
      <sz val="14"/>
      <color rgb="FF000000"/>
      <name val="Yu Gothic"/>
      <family val="0"/>
      <charset val="1"/>
    </font>
    <font>
      <sz val="10"/>
      <color rgb="FF5B6577"/>
      <name val="Noto Sans CJK SC"/>
      <family val="2"/>
    </font>
    <font>
      <sz val="10"/>
      <color rgb="FF5B6577"/>
      <name val="Yu Gothic"/>
      <family val="0"/>
      <charset val="1"/>
    </font>
    <font>
      <b val="true"/>
      <sz val="11"/>
      <color rgb="FF000000"/>
      <name val="Noto Sans CJK SC"/>
      <family val="2"/>
    </font>
    <font>
      <b val="true"/>
      <sz val="11"/>
      <color rgb="FF000000"/>
      <name val="Yu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B45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0DB"/>
      </left>
      <right style="thin">
        <color rgb="FFC9D0DB"/>
      </right>
      <top style="thin">
        <color rgb="FFC9D0DB"/>
      </top>
      <bottom style="thin">
        <color rgb="FFC9D0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0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9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7.15" hidden="false" customHeight="false" outlineLevel="0" collapsed="false">
      <c r="A4" s="3" t="n">
        <v>1</v>
      </c>
      <c r="B4" s="4" t="s">
        <v>8</v>
      </c>
      <c r="C4" s="4" t="s">
        <v>9</v>
      </c>
      <c r="D4" s="3" t="s">
        <v>10</v>
      </c>
      <c r="E4" s="4" t="s">
        <v>11</v>
      </c>
      <c r="F4" s="4" t="s">
        <v>12</v>
      </c>
      <c r="G4" s="4" t="s">
        <v>13</v>
      </c>
    </row>
    <row r="5" customFormat="false" ht="17.15" hidden="false" customHeight="false" outlineLevel="0" collapsed="false">
      <c r="A5" s="3" t="n">
        <v>2</v>
      </c>
      <c r="B5" s="4" t="s">
        <v>14</v>
      </c>
      <c r="C5" s="4" t="s">
        <v>15</v>
      </c>
      <c r="D5" s="3" t="s">
        <v>16</v>
      </c>
      <c r="E5" s="4" t="s">
        <v>17</v>
      </c>
      <c r="F5" s="4" t="s">
        <v>12</v>
      </c>
      <c r="G5" s="4" t="s">
        <v>13</v>
      </c>
    </row>
    <row r="6" customFormat="false" ht="17.15" hidden="false" customHeight="false" outlineLevel="0" collapsed="false">
      <c r="A6" s="3" t="n">
        <v>3</v>
      </c>
      <c r="B6" s="4" t="s">
        <v>18</v>
      </c>
      <c r="C6" s="4" t="s">
        <v>19</v>
      </c>
      <c r="D6" s="3" t="s">
        <v>20</v>
      </c>
      <c r="E6" s="4" t="s">
        <v>21</v>
      </c>
      <c r="F6" s="4" t="s">
        <v>12</v>
      </c>
      <c r="G6" s="4" t="s">
        <v>13</v>
      </c>
    </row>
    <row r="7" customFormat="false" ht="17.15" hidden="false" customHeight="false" outlineLevel="0" collapsed="false">
      <c r="A7" s="3" t="n">
        <v>4</v>
      </c>
      <c r="B7" s="4" t="s">
        <v>22</v>
      </c>
      <c r="C7" s="4" t="s">
        <v>23</v>
      </c>
      <c r="D7" s="3" t="s">
        <v>24</v>
      </c>
      <c r="E7" s="4" t="s">
        <v>25</v>
      </c>
      <c r="F7" s="4" t="s">
        <v>12</v>
      </c>
      <c r="G7" s="4" t="s">
        <v>13</v>
      </c>
    </row>
    <row r="8" customFormat="false" ht="17.15" hidden="false" customHeight="false" outlineLevel="0" collapsed="false">
      <c r="A8" s="3" t="n">
        <v>5</v>
      </c>
      <c r="B8" s="4" t="s">
        <v>26</v>
      </c>
      <c r="C8" s="4" t="s">
        <v>27</v>
      </c>
      <c r="D8" s="3" t="s">
        <v>28</v>
      </c>
      <c r="E8" s="4" t="s">
        <v>29</v>
      </c>
      <c r="F8" s="4" t="s">
        <v>12</v>
      </c>
      <c r="G8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4"/>
  </cols>
  <sheetData>
    <row r="1" customFormat="false" ht="21.6" hidden="false" customHeight="false" outlineLevel="0" collapsed="false">
      <c r="A1" s="5" t="s">
        <v>30</v>
      </c>
    </row>
    <row r="2" customFormat="false" ht="15" hidden="false" customHeight="false" outlineLevel="0" collapsed="false">
      <c r="A2" s="6" t="s">
        <v>31</v>
      </c>
    </row>
    <row r="4" customFormat="false" ht="17.15" hidden="false" customHeight="false" outlineLevel="0" collapsed="false">
      <c r="A4" s="2" t="s">
        <v>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</row>
    <row r="5" customFormat="false" ht="15" hidden="false" customHeight="false" outlineLevel="0" collapsed="false">
      <c r="A5" s="3" t="n">
        <v>1</v>
      </c>
      <c r="B5" s="3" t="str">
        <f aca="false">INDEX(取引先!$B$4:$B$8,MATCH(A5,取引先!$A$4:$A$8,0))</f>
        <v>株式会社 見本工務店</v>
      </c>
      <c r="C5" s="4" t="s">
        <v>38</v>
      </c>
      <c r="D5" s="3" t="n">
        <v>1</v>
      </c>
      <c r="E5" s="7" t="n">
        <v>50000</v>
      </c>
      <c r="F5" s="8" t="n">
        <v>0.1</v>
      </c>
      <c r="G5" s="7" t="n">
        <f aca="false">D5*E5</f>
        <v>50000</v>
      </c>
    </row>
    <row r="6" customFormat="false" ht="15" hidden="false" customHeight="false" outlineLevel="0" collapsed="false">
      <c r="A6" s="3" t="n">
        <v>1</v>
      </c>
      <c r="B6" s="3" t="str">
        <f aca="false">INDEX(取引先!$B$4:$B$8,MATCH(A6,取引先!$A$4:$A$8,0))</f>
        <v>株式会社 見本工務店</v>
      </c>
      <c r="C6" s="4" t="s">
        <v>39</v>
      </c>
      <c r="D6" s="3" t="n">
        <v>2</v>
      </c>
      <c r="E6" s="7" t="n">
        <v>15000</v>
      </c>
      <c r="F6" s="8" t="n">
        <v>0.1</v>
      </c>
      <c r="G6" s="7" t="n">
        <f aca="false">D6*E6</f>
        <v>30000</v>
      </c>
    </row>
    <row r="7" customFormat="false" ht="15" hidden="false" customHeight="false" outlineLevel="0" collapsed="false">
      <c r="A7" s="3" t="n">
        <v>2</v>
      </c>
      <c r="B7" s="3" t="str">
        <f aca="false">INDEX(取引先!$B$4:$B$8,MATCH(A7,取引先!$A$4:$A$8,0))</f>
        <v>有限会社 サンプル食品</v>
      </c>
      <c r="C7" s="4" t="s">
        <v>38</v>
      </c>
      <c r="D7" s="3" t="n">
        <v>1</v>
      </c>
      <c r="E7" s="7" t="n">
        <v>30000</v>
      </c>
      <c r="F7" s="8" t="n">
        <v>0.1</v>
      </c>
      <c r="G7" s="7" t="n">
        <f aca="false">D7*E7</f>
        <v>30000</v>
      </c>
    </row>
    <row r="8" customFormat="false" ht="15" hidden="false" customHeight="false" outlineLevel="0" collapsed="false">
      <c r="A8" s="3" t="n">
        <v>2</v>
      </c>
      <c r="B8" s="3" t="str">
        <f aca="false">INDEX(取引先!$B$4:$B$8,MATCH(A8,取引先!$A$4:$A$8,0))</f>
        <v>有限会社 サンプル食品</v>
      </c>
      <c r="C8" s="4" t="s">
        <v>40</v>
      </c>
      <c r="D8" s="3" t="n">
        <v>12</v>
      </c>
      <c r="E8" s="7" t="n">
        <v>800</v>
      </c>
      <c r="F8" s="8" t="n">
        <v>0.08</v>
      </c>
      <c r="G8" s="7" t="n">
        <f aca="false">D8*E8</f>
        <v>9600</v>
      </c>
    </row>
    <row r="9" customFormat="false" ht="15" hidden="false" customHeight="false" outlineLevel="0" collapsed="false">
      <c r="A9" s="3" t="n">
        <v>3</v>
      </c>
      <c r="B9" s="3" t="str">
        <f aca="false">INDEX(取引先!$B$4:$B$8,MATCH(A9,取引先!$A$4:$A$8,0))</f>
        <v>合同会社 例題デザイン</v>
      </c>
      <c r="C9" s="4" t="s">
        <v>38</v>
      </c>
      <c r="D9" s="3" t="n">
        <v>1</v>
      </c>
      <c r="E9" s="7" t="n">
        <v>30000</v>
      </c>
      <c r="F9" s="8" t="n">
        <v>0.1</v>
      </c>
      <c r="G9" s="7" t="n">
        <f aca="false">D9*E9</f>
        <v>30000</v>
      </c>
    </row>
    <row r="10" customFormat="false" ht="15" hidden="false" customHeight="false" outlineLevel="0" collapsed="false">
      <c r="A10" s="3" t="n">
        <v>4</v>
      </c>
      <c r="B10" s="3" t="str">
        <f aca="false">INDEX(取引先!$B$4:$B$8,MATCH(A10,取引先!$A$4:$A$8,0))</f>
        <v>株式会社 架空運送</v>
      </c>
      <c r="C10" s="4" t="s">
        <v>38</v>
      </c>
      <c r="D10" s="3" t="n">
        <v>1</v>
      </c>
      <c r="E10" s="7" t="n">
        <v>50000</v>
      </c>
      <c r="F10" s="8" t="n">
        <v>0.1</v>
      </c>
      <c r="G10" s="7" t="n">
        <f aca="false">D10*E10</f>
        <v>50000</v>
      </c>
    </row>
    <row r="11" customFormat="false" ht="15" hidden="false" customHeight="false" outlineLevel="0" collapsed="false">
      <c r="A11" s="3" t="n">
        <v>4</v>
      </c>
      <c r="B11" s="3" t="str">
        <f aca="false">INDEX(取引先!$B$4:$B$8,MATCH(A11,取引先!$A$4:$A$8,0))</f>
        <v>株式会社 架空運送</v>
      </c>
      <c r="C11" s="4" t="s">
        <v>41</v>
      </c>
      <c r="D11" s="3" t="n">
        <v>1</v>
      </c>
      <c r="E11" s="7" t="n">
        <v>40000</v>
      </c>
      <c r="F11" s="8" t="n">
        <v>0.1</v>
      </c>
      <c r="G11" s="7" t="n">
        <f aca="false">D11*E11</f>
        <v>40000</v>
      </c>
    </row>
    <row r="12" customFormat="false" ht="15" hidden="false" customHeight="false" outlineLevel="0" collapsed="false">
      <c r="A12" s="3" t="n">
        <v>5</v>
      </c>
      <c r="B12" s="3" t="str">
        <f aca="false">INDEX(取引先!$B$4:$B$8,MATCH(A12,取引先!$A$4:$A$8,0))</f>
        <v>株式会社 ためし商店</v>
      </c>
      <c r="C12" s="4" t="s">
        <v>42</v>
      </c>
      <c r="D12" s="3" t="n">
        <v>3</v>
      </c>
      <c r="E12" s="7" t="n">
        <v>10000</v>
      </c>
      <c r="F12" s="8" t="n">
        <v>0.1</v>
      </c>
      <c r="G12" s="7" t="n">
        <f aca="false">D12*E12</f>
        <v>30000</v>
      </c>
    </row>
    <row r="13" customFormat="false" ht="15" hidden="false" customHeight="false" outlineLevel="0" collapsed="false">
      <c r="A13" s="3"/>
      <c r="B13" s="3"/>
      <c r="C13" s="3"/>
      <c r="D13" s="3"/>
      <c r="E13" s="3"/>
      <c r="F13" s="9" t="s">
        <v>43</v>
      </c>
      <c r="G13" s="10" t="n">
        <f aca="false">SUM(G5:G12)</f>
        <v>269600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2026-10-09T09:01:50Z</dcterms:created>
  <dc:creator>openpyxl</dc:creator>
  <dc:description/>
  <dc:language>en-US</dc:language>
  <cp:lastModifiedBy/>
  <dcterms:modified xsi:type="dcterms:W3CDTF">2026-10-09T09:01:50Z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